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et Proceeds" sheetId="1" state="visible" r:id="rId3"/>
  </sheets>
  <definedNames>
    <definedName function="false" hidden="false" localSheetId="0" name="_xlnm.Print_Area" vbProcedure="false">'Net Proceeds'!$A$1:$D$23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<sst xmlns="http://schemas.openxmlformats.org/spreadsheetml/2006/main" count="21" uniqueCount="19">
  <si>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Seller Net Proceeds</t>
  </si>
  <si>
    <t xml:space="preserve">167 Centre Ave, Secaucus, NJ 07094</t>
  </si>
  <si>
    <t xml:space="preserve">Michael Gonnelli | The Gonnelli Group at RE/MAX Select | 201-240-8422 | michael@thegonnelligroup.com</t>
  </si>
  <si>
    <t xml:space="preserve">Compensation rate</t>
  </si>
  <si>
    <t xml:space="preserve">Reduced RTF eligibility confirmed</t>
  </si>
  <si>
    <t xml:space="preserve">NO</t>
  </si>
  <si>
    <t xml:space="preserve">Sale Price</t>
  </si>
  <si>
    <t xml:space="preserve">Realty Transfer Fee (NJ)</t>
  </si>
  <si>
    <t xml:space="preserve">Graduated Percent Fee (NJ, $1M+)</t>
  </si>
  <si>
    <t xml:space="preserve">Compensation</t>
  </si>
  <si>
    <t xml:space="preserve">Attorney Fee</t>
  </si>
  <si>
    <t xml:space="preserve">Smoke and CO certificate</t>
  </si>
  <si>
    <t xml:space="preserve">Other costs</t>
  </si>
  <si>
    <t xml:space="preserve">Total after costs</t>
  </si>
  <si>
    <t xml:space="preserve">Mortgage Payoff</t>
  </si>
  <si>
    <t xml:space="preserve">Not provided</t>
  </si>
  <si>
    <t xml:space="preserve">Estimated Proceeds (Payoff Status Below)</t>
  </si>
  <si>
    <t xml:space="preserve">Payoff status</t>
  </si>
  <si>
    <t xml:space="preserve">Blue cells are editable. Leave mortgage payoff as Not provided until known; enter 0 only if confirmed. Other liens, prorations and unlisted costs are excluded unless entered in Other costs. B6 NO uses standard RTF; YES uses the partial exemption for eligible senior, blind or disabled owner-occupants. Confirm all NJ RTF-1 residency and ownership conditions with your attorney first. Veteran status alone does not qualify; annual property-tax benefits and full RTF exemptions are separate. Conditions: https://www.nj.gov/treasury/taxation/pdf/other_forms/lpt/rtfexempt.pdf. Estimates only. NJ RTF and July 2025 Graduated Percent Fee schedules apply.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</si>
</sst>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##%"/>
    <numFmt numFmtId="166" formatCode="\$#,##0.00;[RED]&quot;($&quot;#,##0.0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1F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1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2</xdr:col>
      <xdr:colOff>1504440</xdr:colOff>
      <xdr:row>0</xdr:row>
      <xdr:rowOff>628200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4581360" y="0"/>
          <a:ext cx="1504440" cy="62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2"/>
  </cols>
  <sheetData>
    <row r="1" customFormat="false" ht="5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30" hidden="false" customHeight="true" outlineLevel="0" collapsed="false">
      <c r="A3" s="2" t="s">
        <v>2</v>
      </c>
      <c r="B3" s="2"/>
      <c r="C3" s="2"/>
      <c r="D3" s="2"/>
    </row>
    <row r="5" customFormat="false" ht="15" hidden="false" customHeight="false" outlineLevel="0" collapsed="false">
      <c r="A5" s="0" t="s">
        <v>3</v>
      </c>
      <c r="B5" s="3" t="n">
        <v>0.04</v>
      </c>
    </row>
    <row r="6" customFormat="false" ht="15" hidden="false" customHeight="false" outlineLevel="0" collapsed="false">
      <c r="A6" s="0" t="s">
        <v>4</v>
      </c>
      <c r="B6" s="4" t="s">
        <v>5</v>
      </c>
    </row>
    <row r="8" customFormat="false" ht="15" hidden="false" customHeight="false" outlineLevel="0" collapsed="false">
      <c r="A8" s="0" t="s">
        <v>6</v>
      </c>
      <c r="B8" s="5" t="n">
        <v>575000</v>
      </c>
      <c r="C8" s="5" t="n">
        <v>600000</v>
      </c>
      <c r="D8" s="5" t="n">
        <v>675000</v>
      </c>
    </row>
    <row r="9" customFormat="false" ht="15" hidden="false" customHeight="false" outlineLevel="0" collapsed="false">
      <c r="A9" s="0" t="s">
        <v>7</v>
      </c>
      <c r="B9" s="6" t="n">
        <f aca="false">ROUND(IF(ROUND(B8,2)&lt;=350000,IF($B$6="YES",ROUNDUP(MAX(0,MIN(ROUND(B8,2),150000)-0)/500,0)*0.5+ROUNDUP(MAX(0,MIN(ROUND(B8,2),350000)-150000)/500,0)*1.25,ROUNDUP(MAX(0,MIN(ROUND(B8,2),150000)-0)/500,0)*2+ROUNDUP(MAX(0,MIN(ROUND(B8,2),200000)-150000)/500,0)*3.35+ROUNDUP(MAX(0,MIN(ROUND(B8,2),350000)-200000)/500,0)*3.9),IF($B$6="YES",ROUNDUP(MAX(0,MIN(ROUND(B8,2),150000)-0)/500,0)*1.4+ROUNDUP(MAX(0,MIN(ROUND(B8,2),550000)-150000)/500,0)*2.15+ROUNDUP(MAX(0,MIN(ROUND(B8,2),850000)-550000)/500,0)*2.65+ROUNDUP(MAX(0,MIN(ROUND(B8,2),1000000)-850000)/500,0)*3.15+ROUNDUP(MAX(0,ROUND(B8,2)-1000000)/500,0)*3.4,ROUNDUP(MAX(0,MIN(ROUND(B8,2),150000)-0)/500,0)*2.9+ROUNDUP(MAX(0,MIN(ROUND(B8,2),200000)-150000)/500,0)*4.25+ROUNDUP(MAX(0,MIN(ROUND(B8,2),550000)-200000)/500,0)*4.8+ROUNDUP(MAX(0,MIN(ROUND(B8,2),850000)-550000)/500,0)*5.3+ROUNDUP(MAX(0,MIN(ROUND(B8,2),1000000)-850000)/500,0)*5.8+ROUNDUP(MAX(0,ROUND(B8,2)-1000000)/500,0)*6.05)),2)</f>
        <v>4920</v>
      </c>
      <c r="C9" s="6" t="n">
        <f aca="false">ROUND(IF(ROUND(C8,2)&lt;=350000,IF($B$6="YES",ROUNDUP(MAX(0,MIN(ROUND(C8,2),150000)-0)/500,0)*0.5+ROUNDUP(MAX(0,MIN(ROUND(C8,2),350000)-150000)/500,0)*1.25,ROUNDUP(MAX(0,MIN(ROUND(C8,2),150000)-0)/500,0)*2+ROUNDUP(MAX(0,MIN(ROUND(C8,2),200000)-150000)/500,0)*3.35+ROUNDUP(MAX(0,MIN(ROUND(C8,2),350000)-200000)/500,0)*3.9),IF($B$6="YES",ROUNDUP(MAX(0,MIN(ROUND(C8,2),150000)-0)/500,0)*1.4+ROUNDUP(MAX(0,MIN(ROUND(C8,2),550000)-150000)/500,0)*2.15+ROUNDUP(MAX(0,MIN(ROUND(C8,2),850000)-550000)/500,0)*2.65+ROUNDUP(MAX(0,MIN(ROUND(C8,2),1000000)-850000)/500,0)*3.15+ROUNDUP(MAX(0,ROUND(C8,2)-1000000)/500,0)*3.4,ROUNDUP(MAX(0,MIN(ROUND(C8,2),150000)-0)/500,0)*2.9+ROUNDUP(MAX(0,MIN(ROUND(C8,2),200000)-150000)/500,0)*4.25+ROUNDUP(MAX(0,MIN(ROUND(C8,2),550000)-200000)/500,0)*4.8+ROUNDUP(MAX(0,MIN(ROUND(C8,2),850000)-550000)/500,0)*5.3+ROUNDUP(MAX(0,MIN(ROUND(C8,2),1000000)-850000)/500,0)*5.8+ROUNDUP(MAX(0,ROUND(C8,2)-1000000)/500,0)*6.05)),2)</f>
        <v>5185</v>
      </c>
      <c r="D9" s="6" t="n">
        <f aca="false">ROUND(IF(ROUND(D8,2)&lt;=350000,IF($B$6="YES",ROUNDUP(MAX(0,MIN(ROUND(D8,2),150000)-0)/500,0)*0.5+ROUNDUP(MAX(0,MIN(ROUND(D8,2),350000)-150000)/500,0)*1.25,ROUNDUP(MAX(0,MIN(ROUND(D8,2),150000)-0)/500,0)*2+ROUNDUP(MAX(0,MIN(ROUND(D8,2),200000)-150000)/500,0)*3.35+ROUNDUP(MAX(0,MIN(ROUND(D8,2),350000)-200000)/500,0)*3.9),IF($B$6="YES",ROUNDUP(MAX(0,MIN(ROUND(D8,2),150000)-0)/500,0)*1.4+ROUNDUP(MAX(0,MIN(ROUND(D8,2),550000)-150000)/500,0)*2.15+ROUNDUP(MAX(0,MIN(ROUND(D8,2),850000)-550000)/500,0)*2.65+ROUNDUP(MAX(0,MIN(ROUND(D8,2),1000000)-850000)/500,0)*3.15+ROUNDUP(MAX(0,ROUND(D8,2)-1000000)/500,0)*3.4,ROUNDUP(MAX(0,MIN(ROUND(D8,2),150000)-0)/500,0)*2.9+ROUNDUP(MAX(0,MIN(ROUND(D8,2),200000)-150000)/500,0)*4.25+ROUNDUP(MAX(0,MIN(ROUND(D8,2),550000)-200000)/500,0)*4.8+ROUNDUP(MAX(0,MIN(ROUND(D8,2),850000)-550000)/500,0)*5.3+ROUNDUP(MAX(0,MIN(ROUND(D8,2),1000000)-850000)/500,0)*5.8+ROUNDUP(MAX(0,ROUND(D8,2)-1000000)/500,0)*6.05)),2)</f>
        <v>5980</v>
      </c>
    </row>
    <row r="10" customFormat="false" ht="15" hidden="false" customHeight="false" outlineLevel="0" collapsed="false">
      <c r="A10" s="0" t="s">
        <v>8</v>
      </c>
      <c r="B10" s="6" t="n">
        <f aca="false">ROUND(ROUND(B8,2)*IF(ROUND(B8,2)&lt;=1000000,0,IF(ROUND(B8,2)&lt;=2000000,0.01,IF(ROUND(B8,2)&lt;=2500000,0.02,IF(ROUND(B8,2)&lt;=3000000,0.025,IF(ROUND(B8,2)&lt;=3500000,0.03,0.035))))),2)</f>
        <v>0</v>
      </c>
      <c r="C10" s="6" t="n">
        <f aca="false">ROUND(ROUND(C8,2)*IF(ROUND(C8,2)&lt;=1000000,0,IF(ROUND(C8,2)&lt;=2000000,0.01,IF(ROUND(C8,2)&lt;=2500000,0.02,IF(ROUND(C8,2)&lt;=3000000,0.025,IF(ROUND(C8,2)&lt;=3500000,0.03,0.035))))),2)</f>
        <v>0</v>
      </c>
      <c r="D10" s="6" t="n">
        <f aca="false">ROUND(ROUND(D8,2)*IF(ROUND(D8,2)&lt;=1000000,0,IF(ROUND(D8,2)&lt;=2000000,0.01,IF(ROUND(D8,2)&lt;=2500000,0.02,IF(ROUND(D8,2)&lt;=3000000,0.025,IF(ROUND(D8,2)&lt;=3500000,0.03,0.035))))),2)</f>
        <v>0</v>
      </c>
    </row>
    <row r="11" customFormat="false" ht="15" hidden="false" customHeight="false" outlineLevel="0" collapsed="false">
      <c r="A11" s="0" t="s">
        <v>9</v>
      </c>
      <c r="B11" s="6" t="n">
        <f aca="false">ROUND($B$5*ROUND(B8,2),2)</f>
        <v>23000</v>
      </c>
      <c r="C11" s="6" t="n">
        <f aca="false">ROUND($B$5*ROUND(C8,2),2)</f>
        <v>24000</v>
      </c>
      <c r="D11" s="6" t="n">
        <f aca="false">ROUND($B$5*ROUND(D8,2),2)</f>
        <v>27000</v>
      </c>
    </row>
    <row r="12" customFormat="false" ht="15" hidden="false" customHeight="false" outlineLevel="0" collapsed="false">
      <c r="A12" s="0" t="s">
        <v>10</v>
      </c>
      <c r="B12" s="5" t="n">
        <v>1500</v>
      </c>
      <c r="C12" s="5" t="n">
        <v>1500</v>
      </c>
      <c r="D12" s="5" t="n">
        <v>1500</v>
      </c>
    </row>
    <row r="13" customFormat="false" ht="15" hidden="false" customHeight="false" outlineLevel="0" collapsed="false">
      <c r="A13" s="0" t="s">
        <v>11</v>
      </c>
      <c r="B13" s="5" t="n">
        <v>200</v>
      </c>
      <c r="C13" s="5" t="n">
        <v>200</v>
      </c>
      <c r="D13" s="5" t="n">
        <v>200</v>
      </c>
    </row>
    <row r="14" customFormat="false" ht="15" hidden="false" customHeight="false" outlineLevel="0" collapsed="false">
      <c r="A14" s="0" t="s">
        <v>12</v>
      </c>
      <c r="B14" s="5" t="n">
        <v>0</v>
      </c>
      <c r="C14" s="5" t="n">
        <v>0</v>
      </c>
      <c r="D14" s="5" t="n">
        <v>0</v>
      </c>
    </row>
    <row r="15" customFormat="false" ht="15" hidden="false" customHeight="false" outlineLevel="0" collapsed="false">
      <c r="A15" s="7" t="s">
        <v>13</v>
      </c>
      <c r="B15" s="6" t="n">
        <f aca="false">ROUND(ROUND(B8,2)-SUM(B9:B11)-ROUND(B12,2)-ROUND(B13,2)-ROUND(B14,2),2)</f>
        <v>545380</v>
      </c>
      <c r="C15" s="6" t="n">
        <f aca="false">ROUND(ROUND(C8,2)-SUM(C9:C11)-ROUND(C12,2)-ROUND(C13,2)-ROUND(C14,2),2)</f>
        <v>569115</v>
      </c>
      <c r="D15" s="6" t="n">
        <f aca="false">ROUND(ROUND(D8,2)-SUM(D9:D11)-ROUND(D12,2)-ROUND(D13,2)-ROUND(D14,2),2)</f>
        <v>640320</v>
      </c>
    </row>
    <row r="16" customFormat="false" ht="15" hidden="false" customHeight="false" outlineLevel="0" collapsed="false">
      <c r="A16" s="0" t="s">
        <v>14</v>
      </c>
      <c r="B16" s="8" t="s">
        <v>15</v>
      </c>
      <c r="C16" s="8" t="s">
        <v>15</v>
      </c>
      <c r="D16" s="8" t="s">
        <v>15</v>
      </c>
    </row>
    <row r="17" customFormat="false" ht="15" hidden="false" customHeight="false" outlineLevel="0" collapsed="false">
      <c r="A17" s="7" t="s">
        <v>16</v>
      </c>
      <c r="B17" s="6" t="n">
        <f aca="false">ROUND(B15-IF(ISNUMBER(B16),ROUND(B16,2),0),2)</f>
        <v>545380</v>
      </c>
      <c r="C17" s="6" t="n">
        <f aca="false">ROUND(C15-IF(ISNUMBER(C16),ROUND(C16,2),0),2)</f>
        <v>569115</v>
      </c>
      <c r="D17" s="6" t="n">
        <f aca="false">ROUND(D15-IF(ISNUMBER(D16),ROUND(D16,2),0),2)</f>
        <v>640320</v>
      </c>
    </row>
    <row r="18" customFormat="false" ht="31.5" hidden="false" customHeight="true" outlineLevel="0" collapsed="false">
      <c r="A18" s="0" t="s">
        <v>17</v>
      </c>
      <c r="B18" s="9" t="str">
        <f aca="false">IF(ISNUMBER(B16),"After entered payoff","Before payoff (not provided)")</f>
        <v>Before payoff (not provided)</v>
      </c>
      <c r="C18" s="9" t="str">
        <f aca="false">IF(ISNUMBER(C16),"After entered payoff","Before payoff (not provided)")</f>
        <v>Before payoff (not provided)</v>
      </c>
      <c r="D18" s="9" t="str">
        <f aca="false">IF(ISNUMBER(D16),"After entered payoff","Before payoff (not provided)")</f>
        <v>Before payoff (not provided)</v>
      </c>
    </row>
    <row r="19" customFormat="false" ht="27.75" hidden="false" customHeight="true" outlineLevel="0" collapsed="false">
      <c r="A19" s="2" t="s">
        <v>18</v>
      </c>
      <c r="B19" s="2"/>
      <c r="C19" s="2"/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2"/>
      <c r="B23" s="2"/>
      <c r="C23" s="2"/>
      <c r="D23" s="2"/>
    </row>
  </sheetData>
  <mergeCells count="2">
    <mergeCell ref="A3:D3"/>
    <mergeCell ref="A19:D23"/>
  </mergeCells>
  <dataValidations count="9">
    <dataValidation allowBlank="false" error="Enter a nonnegative amount." errorStyle="stop" operator="greaterThanOrEqual" showDropDown="false" showErrorMessage="true" showInputMessage="false" sqref="B12:D14" type="decimal">
      <formula1>0</formula1>
      <formula2>0</formula2>
    </dataValidation>
    <dataValidation allowBlank="false" error="Enter a sale price greater than zero." errorStyle="stop" operator="between" showDropDown="false" showErrorMessage="true" showInputMessage="false" sqref="B8" type="custom">
      <formula1>AND(ISNUMBER(B8),ROUND(B8,2)&gt;0)</formula1>
      <formula2>0</formula2>
    </dataValidation>
    <dataValidation allowBlank="true" error="Enter a nonnegative payoff, or leave Not provided." errorStyle="stop" operator="between" showDropDown="false" showErrorMessage="true" showInputMessage="false" sqref="B16" type="custom">
      <formula1>OR(B16="",B16="Not provided",AND(ISNUMBER(B16),B16&gt;=0))</formula1>
      <formula2>0</formula2>
    </dataValidation>
    <dataValidation allowBlank="false" error="Enter a sale price greater than zero." errorStyle="stop" operator="between" showDropDown="false" showErrorMessage="true" showInputMessage="false" sqref="C8" type="custom">
      <formula1>AND(ISNUMBER(C8),ROUND(C8,2)&gt;0)</formula1>
      <formula2>0</formula2>
    </dataValidation>
    <dataValidation allowBlank="true" error="Enter a nonnegative payoff, or leave Not provided." errorStyle="stop" operator="between" showDropDown="false" showErrorMessage="true" showInputMessage="false" sqref="C16" type="custom">
      <formula1>OR(C16="",C16="Not provided",AND(ISNUMBER(C16),C16&gt;=0))</formula1>
      <formula2>0</formula2>
    </dataValidation>
    <dataValidation allowBlank="false" error="Enter a sale price greater than zero." errorStyle="stop" operator="between" showDropDown="false" showErrorMessage="true" showInputMessage="false" sqref="D8" type="custom">
      <formula1>AND(ISNUMBER(D8),ROUND(D8,2)&gt;0)</formula1>
      <formula2>0</formula2>
    </dataValidation>
    <dataValidation allowBlank="true" error="Enter a nonnegative payoff, or leave Not provided." errorStyle="stop" operator="between" showDropDown="false" showErrorMessage="true" showInputMessage="false" sqref="D16" type="custom">
      <formula1>OR(D16="",D16="Not provided",AND(ISNUMBER(D16),D16&gt;=0))</formula1>
      <formula2>0</formula2>
    </dataValidation>
    <dataValidation allowBlank="false" errorStyle="stop" operator="between" showDropDown="false" showErrorMessage="true" showInputMessage="false" sqref="B5" type="decimal">
      <formula1>0</formula1>
      <formula2>1</formula2>
    </dataValidation>
    <dataValidation allowBlank="false" errorStyle="stop" operator="between" showDropDown="false" showErrorMessage="true" showInputMessage="false" sqref="B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2026-10-01T17:47:09Z</dcterms:created>
  <dc:creator>openpyxl</dc:creator>
  <dc:description/>
  <dc:language>en-US</dc:language>
  <cp:lastModifiedBy/>
  <dcterms:modified xsi:type="dcterms:W3CDTF">2026-10-01T17:47:09Z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