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et Proceeds" sheetId="1" state="visible" r:id="rId3"/>
  </sheets>
  <definedNames>
    <definedName function="false" hidden="false" localSheetId="0" name="_xlnm.Print_Area" vbProcedure="false">'Net Proceeds'!$A$1:$D$20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<sst xmlns="http://schemas.openxmlformats.org/spreadsheetml/2006/main" count="20" uniqueCount="18">
  <si>
    <t xml:space="preserve">Seller Net Proceeds</t>
  </si>
  <si>
    <t xml:space="preserve">41 Elizabeth Ct, Secaucus, NJ</t>
  </si>
  <si>
    <t xml:space="preserve">Michael Gonnelli | The Gonnelli Group | RE/MAX Select | 201-240-8422</t>
  </si>
  <si>
    <t xml:space="preserve">Compensation rate</t>
  </si>
  <si>
    <t xml:space="preserve">Partial RTF status</t>
  </si>
  <si>
    <t xml:space="preserve">Not confirmed; standard schedule shown</t>
  </si>
  <si>
    <t xml:space="preserve">Sale Price</t>
  </si>
  <si>
    <t xml:space="preserve">Realty Transfer Fee (NJ)</t>
  </si>
  <si>
    <t xml:space="preserve">Graduated Percent Fee (NJ, $1M+)</t>
  </si>
  <si>
    <t xml:space="preserve">Compensation</t>
  </si>
  <si>
    <t xml:space="preserve">Attorney Fee</t>
  </si>
  <si>
    <t xml:space="preserve">Smoke Certificate</t>
  </si>
  <si>
    <t xml:space="preserve">Miscellaneous</t>
  </si>
  <si>
    <t xml:space="preserve">Total after costs</t>
  </si>
  <si>
    <t xml:space="preserve">Mortgage Payoff</t>
  </si>
  <si>
    <t xml:space="preserve">Not provided</t>
  </si>
  <si>
    <t xml:space="preserve">Proceeds Before Mortgage Payoff</t>
  </si>
  <si>
    <t xml:space="preserve">Transfer fee brackets: NJ Division of Taxation RTF schedule (over/under $350k), senior partial schedule, Graduated Percent Fee tiers from 7/10/2025. Estimates only.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</si>
</sst>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\$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5" customFormat="false" ht="15" hidden="false" customHeight="false" outlineLevel="0" collapsed="false">
      <c r="A5" s="0" t="s">
        <v>3</v>
      </c>
      <c r="B5" s="2" t="n">
        <v>0.04</v>
      </c>
    </row>
    <row r="6" customFormat="false" ht="15" hidden="false" customHeight="false" outlineLevel="0" collapsed="false">
      <c r="A6" s="0" t="s">
        <v>4</v>
      </c>
      <c r="B6" s="0" t="s">
        <v>5</v>
      </c>
    </row>
    <row r="8" customFormat="false" ht="15" hidden="false" customHeight="false" outlineLevel="0" collapsed="false">
      <c r="A8" s="0" t="s">
        <v>6</v>
      </c>
      <c r="B8" s="3" t="n">
        <v>750000</v>
      </c>
      <c r="C8" s="3" t="n">
        <v>775000</v>
      </c>
      <c r="D8" s="3" t="n">
        <v>800000</v>
      </c>
    </row>
    <row r="9" customFormat="false" ht="15" hidden="false" customHeight="false" outlineLevel="0" collapsed="false">
      <c r="A9" s="0" t="s">
        <v>7</v>
      </c>
      <c r="B9" s="3" t="n">
        <f aca="false">IF(OR(NOT(ISNUMBER(B8)),B8&lt;0),NA(),ROUND(IF(B8&lt;=350000,ROUNDUP(MAX(0,MIN(B8,150000)-0)/500,0)*2+ROUNDUP(MAX(0,MIN(B8,200000)-150000)/500,0)*3.35+ROUNDUP(MAX(0,MIN(B8,350000)-200000)/500,0)*3.9,ROUNDUP(MAX(0,MIN(B8,150000)-0)/500,0)*2.9+ROUNDUP(MAX(0,MIN(B8,200000)-150000)/500,0)*4.25+ROUNDUP(MAX(0,MIN(B8,550000)-200000)/500,0)*4.8+ROUNDUP(MAX(0,MIN(B8,850000)-550000)/500,0)*5.3+ROUNDUP(MAX(0,MIN(B8,1000000)-850000)/500,0)*5.8+ROUNDUP(MAX(0,B8-1000000)/500,0)*6.05),2))</f>
        <v>6775</v>
      </c>
      <c r="C9" s="3" t="n">
        <f aca="false">IF(OR(NOT(ISNUMBER(C8)),C8&lt;0),NA(),ROUND(IF(C8&lt;=350000,ROUNDUP(MAX(0,MIN(C8,150000)-0)/500,0)*2+ROUNDUP(MAX(0,MIN(C8,200000)-150000)/500,0)*3.35+ROUNDUP(MAX(0,MIN(C8,350000)-200000)/500,0)*3.9,ROUNDUP(MAX(0,MIN(C8,150000)-0)/500,0)*2.9+ROUNDUP(MAX(0,MIN(C8,200000)-150000)/500,0)*4.25+ROUNDUP(MAX(0,MIN(C8,550000)-200000)/500,0)*4.8+ROUNDUP(MAX(0,MIN(C8,850000)-550000)/500,0)*5.3+ROUNDUP(MAX(0,MIN(C8,1000000)-850000)/500,0)*5.8+ROUNDUP(MAX(0,C8-1000000)/500,0)*6.05),2))</f>
        <v>7040</v>
      </c>
      <c r="D9" s="3" t="n">
        <f aca="false">IF(OR(NOT(ISNUMBER(D8)),D8&lt;0),NA(),ROUND(IF(D8&lt;=350000,ROUNDUP(MAX(0,MIN(D8,150000)-0)/500,0)*2+ROUNDUP(MAX(0,MIN(D8,200000)-150000)/500,0)*3.35+ROUNDUP(MAX(0,MIN(D8,350000)-200000)/500,0)*3.9,ROUNDUP(MAX(0,MIN(D8,150000)-0)/500,0)*2.9+ROUNDUP(MAX(0,MIN(D8,200000)-150000)/500,0)*4.25+ROUNDUP(MAX(0,MIN(D8,550000)-200000)/500,0)*4.8+ROUNDUP(MAX(0,MIN(D8,850000)-550000)/500,0)*5.3+ROUNDUP(MAX(0,MIN(D8,1000000)-850000)/500,0)*5.8+ROUNDUP(MAX(0,D8-1000000)/500,0)*6.05),2))</f>
        <v>7305</v>
      </c>
    </row>
    <row r="10" customFormat="false" ht="15" hidden="false" customHeight="false" outlineLevel="0" collapsed="false">
      <c r="A10" s="0" t="s">
        <v>8</v>
      </c>
      <c r="B10" s="3" t="n">
        <f aca="false">IF(OR(NOT(ISNUMBER(B8)),B8&lt;0),NA(),ROUND(IF(B8&lt;=1000000,B8*0,IF(B8&lt;=2000000,B8*0.01,IF(B8&lt;=2500000,B8*0.02,IF(B8&lt;=3000000,B8*0.025,IF(B8&lt;=3500000,B8*0.03,B8*0.035))))),2))</f>
        <v>0</v>
      </c>
      <c r="C10" s="3" t="n">
        <f aca="false">IF(OR(NOT(ISNUMBER(C8)),C8&lt;0),NA(),ROUND(IF(C8&lt;=1000000,C8*0,IF(C8&lt;=2000000,C8*0.01,IF(C8&lt;=2500000,C8*0.02,IF(C8&lt;=3000000,C8*0.025,IF(C8&lt;=3500000,C8*0.03,C8*0.035))))),2))</f>
        <v>0</v>
      </c>
      <c r="D10" s="3" t="n">
        <f aca="false">IF(OR(NOT(ISNUMBER(D8)),D8&lt;0),NA(),ROUND(IF(D8&lt;=1000000,D8*0,IF(D8&lt;=2000000,D8*0.01,IF(D8&lt;=2500000,D8*0.02,IF(D8&lt;=3000000,D8*0.025,IF(D8&lt;=3500000,D8*0.03,D8*0.035))))),2))</f>
        <v>0</v>
      </c>
    </row>
    <row r="11" customFormat="false" ht="15" hidden="false" customHeight="false" outlineLevel="0" collapsed="false">
      <c r="A11" s="0" t="s">
        <v>9</v>
      </c>
      <c r="B11" s="3" t="n">
        <f aca="false">IF(OR(NOT(ISNUMBER(B8)),B8&lt;0),NA(),ROUND($B$5*B8,2))</f>
        <v>30000</v>
      </c>
      <c r="C11" s="3" t="n">
        <f aca="false">IF(OR(NOT(ISNUMBER(C8)),C8&lt;0),NA(),ROUND($B$5*C8,2))</f>
        <v>31000</v>
      </c>
      <c r="D11" s="3" t="n">
        <f aca="false">IF(OR(NOT(ISNUMBER(D8)),D8&lt;0),NA(),ROUND($B$5*D8,2))</f>
        <v>32000</v>
      </c>
    </row>
    <row r="12" customFormat="false" ht="15" hidden="false" customHeight="false" outlineLevel="0" collapsed="false">
      <c r="A12" s="0" t="s">
        <v>10</v>
      </c>
      <c r="B12" s="3" t="n">
        <v>1500</v>
      </c>
      <c r="C12" s="3" t="n">
        <v>1500</v>
      </c>
      <c r="D12" s="3" t="n">
        <v>1500</v>
      </c>
    </row>
    <row r="13" customFormat="false" ht="15" hidden="false" customHeight="false" outlineLevel="0" collapsed="false">
      <c r="A13" s="0" t="s">
        <v>11</v>
      </c>
      <c r="B13" s="3" t="n">
        <v>200</v>
      </c>
      <c r="C13" s="3" t="n">
        <v>200</v>
      </c>
      <c r="D13" s="3" t="n">
        <v>200</v>
      </c>
    </row>
    <row r="14" customFormat="false" ht="15" hidden="false" customHeight="false" outlineLevel="0" collapsed="false">
      <c r="A14" s="0" t="s">
        <v>12</v>
      </c>
      <c r="B14" s="3" t="n">
        <v>0</v>
      </c>
      <c r="C14" s="3" t="n">
        <v>0</v>
      </c>
      <c r="D14" s="3" t="n">
        <v>0</v>
      </c>
    </row>
    <row r="15" customFormat="false" ht="15" hidden="false" customHeight="false" outlineLevel="0" collapsed="false">
      <c r="A15" s="4" t="s">
        <v>13</v>
      </c>
      <c r="B15" s="3" t="n">
        <f aca="false">ROUND(B8-SUM(B9:B14),2)</f>
        <v>711525</v>
      </c>
      <c r="C15" s="3" t="n">
        <f aca="false">ROUND(C8-SUM(C9:C14),2)</f>
        <v>735260</v>
      </c>
      <c r="D15" s="3" t="n">
        <f aca="false">ROUND(D8-SUM(D9:D14),2)</f>
        <v>758995</v>
      </c>
    </row>
    <row r="16" customFormat="false" ht="15" hidden="false" customHeight="false" outlineLevel="0" collapsed="false">
      <c r="A16" s="0" t="s">
        <v>14</v>
      </c>
      <c r="B16" s="3" t="s">
        <v>15</v>
      </c>
      <c r="C16" s="3" t="s">
        <v>15</v>
      </c>
      <c r="D16" s="3" t="s">
        <v>15</v>
      </c>
    </row>
    <row r="17" customFormat="false" ht="15" hidden="false" customHeight="false" outlineLevel="0" collapsed="false">
      <c r="A17" s="4" t="s">
        <v>16</v>
      </c>
      <c r="B17" s="3" t="n">
        <f aca="false">B15</f>
        <v>711525</v>
      </c>
      <c r="C17" s="3" t="n">
        <f aca="false">C15</f>
        <v>735260</v>
      </c>
      <c r="D17" s="3" t="n">
        <f aca="false">D15</f>
        <v>758995</v>
      </c>
    </row>
    <row r="19" customFormat="false" ht="15" hidden="false" customHeight="true" outlineLevel="0" collapsed="false">
      <c r="A19" s="5" t="s">
        <v>17</v>
      </c>
      <c r="B19" s="5"/>
      <c r="C19" s="5"/>
      <c r="D19" s="5"/>
    </row>
    <row r="20" customFormat="false" ht="15" hidden="false" customHeight="false" outlineLevel="0" collapsed="false">
      <c r="A20" s="5"/>
      <c r="B20" s="5"/>
      <c r="C20" s="5"/>
      <c r="D20" s="5"/>
    </row>
  </sheetData>
  <mergeCells count="1">
    <mergeCell ref="A19:D20"/>
  </mergeCells>
  <dataValidations count="1">
    <dataValidation allowBlank="false" error="Enter a non-negative sale price as a number." errorStyle="stop" errorTitle="Invalid sale price" operator="between" showDropDown="false" showErrorMessage="true" showInputMessage="false" sqref="B8:D8" type="custom">
      <formula1>AND(ISNUMBER(B8),B8&gt;=0)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2026-09-07T19:31:40Z</dcterms:created>
  <dc:creator>openpyxl</dc:creator>
  <dc:description/>
  <dc:language>en-US</dc:language>
  <cp:lastModifiedBy/>
  <dcterms:modified xsi:type="dcterms:W3CDTF">2026-09-07T19:31:40Z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